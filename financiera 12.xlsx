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a\Downloads\documentos\"/>
    </mc:Choice>
  </mc:AlternateContent>
  <xr:revisionPtr revIDLastSave="0" documentId="8_{2293BA75-D937-48C5-8D05-1D2072B4DE1B}" xr6:coauthVersionLast="47" xr6:coauthVersionMax="47" xr10:uidLastSave="{00000000-0000-0000-0000-000000000000}"/>
  <bookViews>
    <workbookView xWindow="-108" yWindow="-108" windowWidth="23256" windowHeight="12456" activeTab="3" xr2:uid="{FDD7DDBA-35C7-4922-9BD2-0BCE1AF2BC52}"/>
  </bookViews>
  <sheets>
    <sheet name="Hoja1" sheetId="1" r:id="rId1"/>
    <sheet name="Hoja2" sheetId="2" r:id="rId2"/>
    <sheet name="Hoja3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4" l="1"/>
  <c r="B33" i="4"/>
  <c r="B32" i="4"/>
  <c r="C35" i="3"/>
  <c r="C36" i="3"/>
  <c r="C37" i="3" s="1"/>
  <c r="C40" i="3" s="1"/>
  <c r="B30" i="4"/>
  <c r="B22" i="4"/>
  <c r="F21" i="3"/>
  <c r="C20" i="3"/>
  <c r="C19" i="3"/>
  <c r="B21" i="3"/>
  <c r="C21" i="3" s="1"/>
  <c r="C12" i="3"/>
  <c r="B17" i="3"/>
  <c r="B18" i="3" s="1"/>
  <c r="C28" i="3"/>
  <c r="C85" i="2"/>
  <c r="C82" i="2"/>
  <c r="C83" i="2" s="1"/>
  <c r="C84" i="2" s="1"/>
  <c r="C81" i="2"/>
  <c r="D68" i="2"/>
  <c r="D67" i="2"/>
  <c r="E29" i="2"/>
  <c r="M9" i="2"/>
  <c r="M8" i="2"/>
  <c r="B31" i="2"/>
  <c r="E28" i="2" s="1"/>
  <c r="B14" i="2"/>
  <c r="C56" i="1"/>
  <c r="B56" i="1"/>
  <c r="E48" i="1"/>
  <c r="D48" i="1"/>
  <c r="B47" i="1"/>
  <c r="C47" i="1" s="1"/>
  <c r="C37" i="1"/>
  <c r="B37" i="1"/>
  <c r="B25" i="1"/>
  <c r="B15" i="1"/>
</calcChain>
</file>

<file path=xl/sharedStrings.xml><?xml version="1.0" encoding="utf-8"?>
<sst xmlns="http://schemas.openxmlformats.org/spreadsheetml/2006/main" count="114" uniqueCount="66">
  <si>
    <t>INTRUDUCCION: EXCEL FINANCIERA</t>
  </si>
  <si>
    <t xml:space="preserve">INVIERTO UN MILON DE PESO EN UNA ENTIDAD QUE PAGA EL 13% EFECTIVO ANUAL, CUANTO TENDRE EN 5 SEMESTRES </t>
  </si>
  <si>
    <t>VARIABLES</t>
  </si>
  <si>
    <t>VP</t>
  </si>
  <si>
    <t>Taza</t>
  </si>
  <si>
    <t>N</t>
  </si>
  <si>
    <t>tendre disponible 1357363,32</t>
  </si>
  <si>
    <t>VF</t>
  </si>
  <si>
    <t>retire hoy de mi cuenta 45200000 si la cuenta paga el 0,1% quincenal y la inversion duro 3 años, cuento dinero deposite</t>
  </si>
  <si>
    <t>necesito reunir 20000000 y la entidad financiera paga el 9,54%  si mi inversion es de 14,300,000, cuwento tiempo debere dejar el dinero en la entidad</t>
  </si>
  <si>
    <t>para conseguir los 20 millones tendre que dejar el dinero en la entidad financiera 7,36335016</t>
  </si>
  <si>
    <t>que taza mensual de interés me pago una corporacion si inverti 1 millon y retire 15500000 manteniendo la inversion 3 cuatrimestres</t>
  </si>
  <si>
    <t xml:space="preserve">variables </t>
  </si>
  <si>
    <t>TOMO UN CREDITO QUE DEBO PAGAR EN DOS CUOTAS Dentro de 3 meses 3 millones y 6 mese 6 millones de pesos si la tasa de interes es del 0,92% quincenal de cuanto fue el credito</t>
  </si>
  <si>
    <t xml:space="preserve">1er pago </t>
  </si>
  <si>
    <t>2do pago</t>
  </si>
  <si>
    <t>taza</t>
  </si>
  <si>
    <t>meses</t>
  </si>
  <si>
    <t xml:space="preserve">n </t>
  </si>
  <si>
    <t>variables</t>
  </si>
  <si>
    <t>vva</t>
  </si>
  <si>
    <t>n</t>
  </si>
  <si>
    <t xml:space="preserve">taza </t>
  </si>
  <si>
    <t xml:space="preserve">vf </t>
  </si>
  <si>
    <t>hago una inversion en un fondo que paga el 14,25% invierto hoy un millon de pesos y dentro de 8 meses 2 millones cuanto tendre en 6 semestres</t>
  </si>
  <si>
    <t xml:space="preserve">en cuanto tiempo triplico una inversion a una taza de interes que duplica la inversion en 3 años </t>
  </si>
  <si>
    <t>va</t>
  </si>
  <si>
    <t xml:space="preserve">inversion  </t>
  </si>
  <si>
    <t>vf</t>
  </si>
  <si>
    <t>rri</t>
  </si>
  <si>
    <t>nper</t>
  </si>
  <si>
    <t>i</t>
  </si>
  <si>
    <t>invierto en una letra del tesoro que la compro al 95,3% 270 dias antes de su fecha de vencimiento cuanto es la rentabilidad mesual de este activo financiero</t>
  </si>
  <si>
    <t>si la inflacion del 2020 fue del 10,8 y del 2021 9,7, 2022 6,25, y la del 2023 5,2% y la del 6,7 y yo compraba mi canasta familiar con 100 mil hoy con cuanto la compro</t>
  </si>
  <si>
    <t>tomo un cretido de 47 m a 10 años a cuotras iguales pagaderas y guales 0.97% mensual, de cuanto es cada cuota</t>
  </si>
  <si>
    <t>monto</t>
  </si>
  <si>
    <t>plazo</t>
  </si>
  <si>
    <t>periodicidad</t>
  </si>
  <si>
    <t>bimiestral</t>
  </si>
  <si>
    <t>tasa</t>
  </si>
  <si>
    <t>m1</t>
  </si>
  <si>
    <t>m2</t>
  </si>
  <si>
    <t>equivalencia</t>
  </si>
  <si>
    <t>n. mensual</t>
  </si>
  <si>
    <t>EA</t>
  </si>
  <si>
    <t>n.bimestral</t>
  </si>
  <si>
    <t>p.bimestral</t>
  </si>
  <si>
    <t>planeo una inversion en un fondo(ahorro) que me garantiza el 9.76% capitalizable compuesto semestral, si ahorro cada mes durante 4 años 900.000 mil, cuanto tendre al final</t>
  </si>
  <si>
    <t xml:space="preserve">periodicidad </t>
  </si>
  <si>
    <t>semestral</t>
  </si>
  <si>
    <t>n.mensual</t>
  </si>
  <si>
    <t>n.semestral</t>
  </si>
  <si>
    <t>pago</t>
  </si>
  <si>
    <t>tasa mensual</t>
  </si>
  <si>
    <t>vencido</t>
  </si>
  <si>
    <t>creditos</t>
  </si>
  <si>
    <t>anticipado</t>
  </si>
  <si>
    <t>ahorro</t>
  </si>
  <si>
    <t>Un certificado de depósito (CD) es un instrumento de ahorro que ofrecen muchos bancos. Suele ofrecer una tasa de interés más alta, pero no permite acceder a la inversión durante un plazo determinado. Supongamos que deposita $3000 en un CD que paga un 6% de interés compuesto mensualmente. ¿Cuánto tendrá en la cuenta después de 10 años?</t>
  </si>
  <si>
    <t>Variables</t>
  </si>
  <si>
    <t>perido</t>
  </si>
  <si>
    <t>2. ¿Cuánto deberá depositar al final de cada  trimestralmente en una cuenta que le garantiza el 12% capitalizable semestralmente, si después de 15 años quiere tener 500.000.000 ? </t>
  </si>
  <si>
    <t>ns</t>
  </si>
  <si>
    <t>nt</t>
  </si>
  <si>
    <t>usted le llegó una herencia de su tío abuelo y tiene 1.000.000.000 en un fideicomiso, que le permite hacer retiros iguales al final de mes durante 15 años, si el fondo le paga el 1.25% Bimestral periódico, de cuánto será cada retiro?  </t>
  </si>
  <si>
    <t>4. De cuánto es un crédito desembolsado hoy  que paga cuotas iguales mensuales vencidas de 1.200.000 durante 10 años  a una tasa del 11% EA?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</si>
</sst>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#,##0.00;[Red]\-&quot;$&quot;#,##0.00"/>
    <numFmt numFmtId="165" formatCode="&quot;$&quot;\ #,##0.00"/>
    <numFmt numFmtId="166" formatCode="&quot;$&quot;\ #,##0.0000;[Red]\-&quot;$&quot;\ #,##0.0000"/>
    <numFmt numFmtId="167" formatCode="0.0000%"/>
    <numFmt numFmtId="168" formatCode="0.0%"/>
    <numFmt numFmtId="169" formatCode="0.000000%"/>
    <numFmt numFmtId="170" formatCode="0.000%"/>
    <numFmt numFmtId="171" formatCode="0.00000%"/>
    <numFmt numFmtId="172" formatCode="0.0000000%"/>
    <numFmt numFmtId="179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565656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1" fillId="0" borderId="0" applyFont="0" applyFill="0" applyBorder="0" applyAlignment="0" applyProtection="0"/>
  </cellStyleXfs>
  <cellXfs count="33">
    <xf numFmtId="0" fontId="0" fillId="0" borderId="0" xfId="0"/>
    <xf numFmtId="44" fontId="0" fillId="0" borderId="0" xfId="1" applyFont="1"/>
    <xf numFmtId="165" fontId="0" fillId="0" borderId="0" xfId="1" applyNumberFormat="1" applyFont="1"/>
    <xf numFmtId="9" fontId="0" fillId="0" borderId="0" xfId="0" applyNumberFormat="1"/>
    <xf numFmtId="166" fontId="2" fillId="2" borderId="0" xfId="3" applyNumberFormat="1"/>
    <xf numFmtId="9" fontId="0" fillId="0" borderId="0" xfId="2" applyFont="1"/>
    <xf numFmtId="165" fontId="0" fillId="0" borderId="0" xfId="0" applyNumberFormat="1"/>
    <xf numFmtId="0" fontId="0" fillId="0" borderId="0" xfId="1" applyNumberFormat="1" applyFont="1"/>
    <xf numFmtId="0" fontId="3" fillId="3" borderId="0" xfId="4" applyNumberFormat="1"/>
    <xf numFmtId="167" fontId="3" fillId="3" borderId="0" xfId="4" applyNumberFormat="1"/>
    <xf numFmtId="0" fontId="3" fillId="3" borderId="0" xfId="4"/>
    <xf numFmtId="167" fontId="0" fillId="0" borderId="0" xfId="2" applyNumberFormat="1" applyFont="1"/>
    <xf numFmtId="8" fontId="0" fillId="0" borderId="0" xfId="0" applyNumberFormat="1"/>
    <xf numFmtId="16" fontId="0" fillId="0" borderId="0" xfId="0" applyNumberFormat="1"/>
    <xf numFmtId="10" fontId="0" fillId="0" borderId="0" xfId="0" applyNumberFormat="1"/>
    <xf numFmtId="169" fontId="0" fillId="0" borderId="0" xfId="2" applyNumberFormat="1" applyFont="1"/>
    <xf numFmtId="168" fontId="0" fillId="0" borderId="0" xfId="0" applyNumberFormat="1"/>
    <xf numFmtId="10" fontId="0" fillId="0" borderId="0" xfId="2" applyNumberFormat="1" applyFont="1"/>
    <xf numFmtId="170" fontId="0" fillId="0" borderId="0" xfId="2" applyNumberFormat="1" applyFont="1"/>
    <xf numFmtId="171" fontId="0" fillId="0" borderId="0" xfId="2" applyNumberFormat="1" applyFont="1"/>
    <xf numFmtId="164" fontId="0" fillId="0" borderId="0" xfId="0" applyNumberFormat="1"/>
    <xf numFmtId="164" fontId="0" fillId="0" borderId="0" xfId="2" applyNumberFormat="1" applyFont="1"/>
    <xf numFmtId="172" fontId="0" fillId="0" borderId="0" xfId="2" applyNumberFormat="1" applyFont="1"/>
    <xf numFmtId="0" fontId="4" fillId="0" borderId="0" xfId="0" applyFont="1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79" fontId="0" fillId="0" borderId="0" xfId="5" applyNumberFormat="1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/>
    </xf>
  </cellXfs>
  <cellStyles count="6">
    <cellStyle name="Bueno" xfId="3" builtinId="26"/>
    <cellStyle name="Énfasis6" xfId="4" builtinId="49"/>
    <cellStyle name="Millares" xfId="5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D2DA-6BE4-49DD-9CEC-FA5831518A0E}">
  <dimension ref="A4:K58"/>
  <sheetViews>
    <sheetView topLeftCell="A34" workbookViewId="0">
      <selection activeCell="B57" sqref="B57"/>
    </sheetView>
  </sheetViews>
  <sheetFormatPr baseColWidth="10" defaultRowHeight="14.4" x14ac:dyDescent="0.3"/>
  <cols>
    <col min="2" max="2" width="15.88671875" customWidth="1"/>
  </cols>
  <sheetData>
    <row r="4" spans="1:10" ht="18" x14ac:dyDescent="0.35">
      <c r="A4" s="23" t="s">
        <v>0</v>
      </c>
      <c r="B4" s="23"/>
      <c r="C4" s="23"/>
      <c r="D4" s="23"/>
      <c r="E4" s="23"/>
      <c r="F4" s="23"/>
      <c r="G4" s="23"/>
      <c r="H4" s="23"/>
      <c r="I4" s="23"/>
      <c r="J4" s="23"/>
    </row>
    <row r="6" spans="1:10" x14ac:dyDescent="0.3">
      <c r="A6" s="25" t="s">
        <v>1</v>
      </c>
      <c r="B6" s="25"/>
      <c r="C6" s="25"/>
      <c r="D6" s="25"/>
      <c r="E6" s="25"/>
      <c r="F6" s="25"/>
      <c r="G6" s="25"/>
      <c r="H6" s="25"/>
      <c r="I6" s="25"/>
      <c r="J6" s="25"/>
    </row>
    <row r="7" spans="1:10" x14ac:dyDescent="0.3">
      <c r="A7" s="25"/>
      <c r="B7" s="25"/>
      <c r="C7" s="25"/>
      <c r="D7" s="25"/>
      <c r="E7" s="25"/>
      <c r="F7" s="25"/>
      <c r="G7" s="25"/>
      <c r="H7" s="25"/>
      <c r="I7" s="25"/>
      <c r="J7" s="25"/>
    </row>
    <row r="9" spans="1:10" x14ac:dyDescent="0.3">
      <c r="A9" t="s">
        <v>2</v>
      </c>
    </row>
    <row r="10" spans="1:10" x14ac:dyDescent="0.3">
      <c r="A10" t="s">
        <v>3</v>
      </c>
      <c r="B10" s="2">
        <v>1000000</v>
      </c>
    </row>
    <row r="11" spans="1:10" x14ac:dyDescent="0.3">
      <c r="A11" t="s">
        <v>4</v>
      </c>
      <c r="B11" s="3">
        <v>0.13</v>
      </c>
    </row>
    <row r="12" spans="1:10" x14ac:dyDescent="0.3">
      <c r="A12" t="s">
        <v>5</v>
      </c>
      <c r="B12">
        <v>2.5</v>
      </c>
    </row>
    <row r="15" spans="1:10" x14ac:dyDescent="0.3">
      <c r="A15" t="s">
        <v>7</v>
      </c>
      <c r="B15" s="4">
        <f>FV(B11,B12,,-B10)</f>
        <v>1357363.3188280871</v>
      </c>
      <c r="C15" s="25" t="s">
        <v>6</v>
      </c>
      <c r="D15" s="25"/>
      <c r="E15" s="25"/>
      <c r="F15" s="25"/>
    </row>
    <row r="18" spans="1:11" x14ac:dyDescent="0.3">
      <c r="A18" s="24" t="s">
        <v>8</v>
      </c>
      <c r="B18" s="24"/>
      <c r="C18" s="24"/>
      <c r="D18" s="24"/>
      <c r="E18" s="24"/>
      <c r="F18" s="24"/>
      <c r="G18" s="24"/>
      <c r="H18" s="24"/>
      <c r="I18" s="24"/>
      <c r="J18" s="24"/>
    </row>
    <row r="19" spans="1:11" x14ac:dyDescent="0.3">
      <c r="A19" s="24"/>
      <c r="B19" s="24"/>
      <c r="C19" s="24"/>
      <c r="D19" s="24"/>
      <c r="E19" s="24"/>
      <c r="F19" s="24"/>
      <c r="G19" s="24"/>
      <c r="H19" s="24"/>
      <c r="I19" s="24"/>
      <c r="J19" s="24"/>
    </row>
    <row r="24" spans="1:11" x14ac:dyDescent="0.3">
      <c r="A24" s="25" t="s">
        <v>2</v>
      </c>
      <c r="B24" s="25"/>
    </row>
    <row r="25" spans="1:11" x14ac:dyDescent="0.3">
      <c r="A25" t="s">
        <v>3</v>
      </c>
      <c r="B25" s="4">
        <f>PV(B26,B27,,-B28)</f>
        <v>2354374.743888855</v>
      </c>
    </row>
    <row r="26" spans="1:11" x14ac:dyDescent="0.3">
      <c r="A26" t="s">
        <v>4</v>
      </c>
      <c r="B26" s="5">
        <v>9.1000000000000004E-3</v>
      </c>
    </row>
    <row r="27" spans="1:11" x14ac:dyDescent="0.3">
      <c r="A27" t="s">
        <v>5</v>
      </c>
      <c r="B27" s="7">
        <v>72</v>
      </c>
    </row>
    <row r="28" spans="1:11" x14ac:dyDescent="0.3">
      <c r="A28" t="s">
        <v>7</v>
      </c>
      <c r="B28" s="6">
        <v>4520000</v>
      </c>
    </row>
    <row r="31" spans="1:11" x14ac:dyDescent="0.3">
      <c r="A31" s="25" t="s">
        <v>9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spans="1:11" x14ac:dyDescent="0.3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5" spans="1:11" x14ac:dyDescent="0.3">
      <c r="A35" t="s">
        <v>3</v>
      </c>
      <c r="B35">
        <v>14300000</v>
      </c>
    </row>
    <row r="36" spans="1:11" x14ac:dyDescent="0.3">
      <c r="A36" t="s">
        <v>4</v>
      </c>
      <c r="B36" s="5">
        <v>9.5399999999999999E-2</v>
      </c>
    </row>
    <row r="37" spans="1:11" x14ac:dyDescent="0.3">
      <c r="A37" t="s">
        <v>5</v>
      </c>
      <c r="B37" s="7">
        <f>NPER(B36,,-B35,B38)</f>
        <v>3.6816750809584198</v>
      </c>
      <c r="C37" s="10">
        <f>+B37*2</f>
        <v>7.3633501619168396</v>
      </c>
      <c r="D37" s="25" t="s">
        <v>10</v>
      </c>
      <c r="E37" s="25"/>
      <c r="F37" s="25"/>
      <c r="G37" s="25"/>
      <c r="H37" s="25"/>
      <c r="I37" s="25"/>
      <c r="J37" s="25"/>
      <c r="K37" s="25"/>
    </row>
    <row r="38" spans="1:11" x14ac:dyDescent="0.3">
      <c r="A38" t="s">
        <v>7</v>
      </c>
      <c r="B38" s="6">
        <v>20000000</v>
      </c>
    </row>
    <row r="41" spans="1:11" x14ac:dyDescent="0.3">
      <c r="A41" s="25" t="s">
        <v>9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spans="1:11" x14ac:dyDescent="0.3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5" spans="1:11" x14ac:dyDescent="0.3">
      <c r="A45" t="s">
        <v>3</v>
      </c>
      <c r="B45">
        <v>14300000</v>
      </c>
    </row>
    <row r="46" spans="1:11" x14ac:dyDescent="0.3">
      <c r="A46" t="s">
        <v>4</v>
      </c>
      <c r="B46" s="5">
        <v>9.5399999999999999E-2</v>
      </c>
    </row>
    <row r="47" spans="1:11" x14ac:dyDescent="0.3">
      <c r="A47" t="s">
        <v>5</v>
      </c>
      <c r="B47" s="8">
        <f>NPER(B46,,-B45,B48)</f>
        <v>3.6816750809584198</v>
      </c>
      <c r="C47">
        <f>+B47*2</f>
        <v>7.3633501619168396</v>
      </c>
      <c r="D47" s="25" t="s">
        <v>10</v>
      </c>
      <c r="E47" s="25"/>
      <c r="F47" s="25"/>
      <c r="G47" s="25"/>
      <c r="H47" s="25"/>
      <c r="I47" s="25"/>
      <c r="J47" s="25"/>
      <c r="K47" s="25"/>
    </row>
    <row r="48" spans="1:11" x14ac:dyDescent="0.3">
      <c r="A48" t="s">
        <v>7</v>
      </c>
      <c r="B48" s="6">
        <v>20000000</v>
      </c>
      <c r="D48">
        <f>_xlfn.PDURATION(B46,B45,B48)</f>
        <v>3.68167508095841</v>
      </c>
      <c r="E48">
        <f>+D48*2</f>
        <v>7.36335016191682</v>
      </c>
    </row>
    <row r="51" spans="1:11" x14ac:dyDescent="0.3">
      <c r="A51" s="25" t="s">
        <v>11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</row>
    <row r="52" spans="1:11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5" spans="1:11" x14ac:dyDescent="0.3">
      <c r="A55" t="s">
        <v>3</v>
      </c>
      <c r="B55" s="1">
        <v>1000000</v>
      </c>
    </row>
    <row r="56" spans="1:11" x14ac:dyDescent="0.3">
      <c r="A56" t="s">
        <v>4</v>
      </c>
      <c r="B56" s="9">
        <f>RATE(B57,,B55,-B58)</f>
        <v>4.7739146593731956E-2</v>
      </c>
      <c r="C56" s="11">
        <f>_xlfn.RRI(B57,B55,B58)</f>
        <v>4.7739146593731796E-2</v>
      </c>
    </row>
    <row r="57" spans="1:11" x14ac:dyDescent="0.3">
      <c r="A57" t="s">
        <v>5</v>
      </c>
      <c r="B57">
        <v>12</v>
      </c>
    </row>
    <row r="58" spans="1:11" x14ac:dyDescent="0.3">
      <c r="A58" t="s">
        <v>7</v>
      </c>
      <c r="B58" s="1">
        <v>1750000</v>
      </c>
    </row>
  </sheetData>
  <mergeCells count="10">
    <mergeCell ref="D37:K37"/>
    <mergeCell ref="A41:K42"/>
    <mergeCell ref="D47:K47"/>
    <mergeCell ref="A51:K52"/>
    <mergeCell ref="A6:J7"/>
    <mergeCell ref="A4:J4"/>
    <mergeCell ref="A18:J19"/>
    <mergeCell ref="C15:F15"/>
    <mergeCell ref="A24:B24"/>
    <mergeCell ref="A31:K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0C425-F8A7-493B-82E7-E1B2CDD8B455}">
  <dimension ref="A1:N85"/>
  <sheetViews>
    <sheetView topLeftCell="A58" workbookViewId="0">
      <selection activeCell="C84" sqref="C84"/>
    </sheetView>
  </sheetViews>
  <sheetFormatPr baseColWidth="10" defaultRowHeight="14.4" x14ac:dyDescent="0.3"/>
  <cols>
    <col min="2" max="2" width="14.5546875" bestFit="1" customWidth="1"/>
    <col min="3" max="3" width="13" bestFit="1" customWidth="1"/>
    <col min="5" max="5" width="13.109375" bestFit="1" customWidth="1"/>
    <col min="6" max="6" width="14.5546875" bestFit="1" customWidth="1"/>
    <col min="7" max="7" width="13.109375" bestFit="1" customWidth="1"/>
  </cols>
  <sheetData>
    <row r="1" spans="1:14" x14ac:dyDescent="0.3">
      <c r="A1" s="25" t="s">
        <v>13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8" spans="1:14" x14ac:dyDescent="0.3">
      <c r="A8" t="s">
        <v>12</v>
      </c>
      <c r="M8">
        <f>4/12</f>
        <v>0.33333333333333331</v>
      </c>
    </row>
    <row r="9" spans="1:14" x14ac:dyDescent="0.3">
      <c r="A9" t="s">
        <v>14</v>
      </c>
      <c r="B9" s="1">
        <v>3000000</v>
      </c>
      <c r="C9" s="13"/>
      <c r="D9" t="s">
        <v>17</v>
      </c>
      <c r="M9">
        <f>2+M8</f>
        <v>2.3333333333333335</v>
      </c>
    </row>
    <row r="10" spans="1:14" x14ac:dyDescent="0.3">
      <c r="A10" t="s">
        <v>15</v>
      </c>
      <c r="B10" s="1">
        <v>6000000</v>
      </c>
      <c r="C10">
        <v>6</v>
      </c>
      <c r="D10" t="s">
        <v>17</v>
      </c>
    </row>
    <row r="11" spans="1:14" x14ac:dyDescent="0.3">
      <c r="A11" t="s">
        <v>16</v>
      </c>
      <c r="B11">
        <v>9.1999999999999998E-3</v>
      </c>
    </row>
    <row r="12" spans="1:14" x14ac:dyDescent="0.3">
      <c r="A12" t="s">
        <v>18</v>
      </c>
      <c r="B12">
        <v>6</v>
      </c>
    </row>
    <row r="14" spans="1:14" x14ac:dyDescent="0.3">
      <c r="B14" s="12">
        <f>FV(B11,C9,,-B9)</f>
        <v>3000000</v>
      </c>
    </row>
    <row r="21" spans="1:11" x14ac:dyDescent="0.3">
      <c r="A21" s="25" t="s">
        <v>24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spans="1:11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</row>
    <row r="27" spans="1:11" x14ac:dyDescent="0.3">
      <c r="A27" t="s">
        <v>19</v>
      </c>
      <c r="D27" t="s">
        <v>19</v>
      </c>
      <c r="E27" s="12"/>
    </row>
    <row r="28" spans="1:11" x14ac:dyDescent="0.3">
      <c r="A28" t="s">
        <v>26</v>
      </c>
      <c r="B28" s="1">
        <v>1000000</v>
      </c>
      <c r="D28" t="s">
        <v>20</v>
      </c>
      <c r="E28" s="12">
        <f>+B31</f>
        <v>1491312.3906250002</v>
      </c>
      <c r="F28" s="1">
        <v>2000000</v>
      </c>
      <c r="G28" s="12"/>
    </row>
    <row r="29" spans="1:11" x14ac:dyDescent="0.3">
      <c r="A29" t="s">
        <v>21</v>
      </c>
      <c r="B29">
        <v>3</v>
      </c>
      <c r="D29" t="s">
        <v>21</v>
      </c>
      <c r="E29">
        <f>+M9</f>
        <v>2.3333333333333335</v>
      </c>
    </row>
    <row r="30" spans="1:11" x14ac:dyDescent="0.3">
      <c r="A30" t="s">
        <v>22</v>
      </c>
      <c r="B30" s="14">
        <v>0.14249999999999999</v>
      </c>
      <c r="D30" t="s">
        <v>22</v>
      </c>
      <c r="E30" s="14">
        <v>0.14249999999999999</v>
      </c>
    </row>
    <row r="31" spans="1:11" x14ac:dyDescent="0.3">
      <c r="A31" t="s">
        <v>23</v>
      </c>
      <c r="B31" s="12">
        <f>FV(B30,B29,,-B28)</f>
        <v>1491312.3906250002</v>
      </c>
      <c r="D31" t="s">
        <v>23</v>
      </c>
      <c r="E31" s="12"/>
    </row>
    <row r="35" spans="1:8" x14ac:dyDescent="0.3">
      <c r="A35" s="25" t="s">
        <v>25</v>
      </c>
      <c r="B35" s="25"/>
      <c r="C35" s="25"/>
      <c r="D35" s="25"/>
      <c r="E35" s="25"/>
      <c r="F35" s="25"/>
      <c r="G35" s="25"/>
      <c r="H35" s="25"/>
    </row>
    <row r="36" spans="1:8" x14ac:dyDescent="0.3">
      <c r="A36" s="25"/>
      <c r="B36" s="25"/>
      <c r="C36" s="25"/>
      <c r="D36" s="25"/>
      <c r="E36" s="25"/>
      <c r="F36" s="25"/>
      <c r="G36" s="25"/>
      <c r="H36" s="25"/>
    </row>
    <row r="41" spans="1:8" x14ac:dyDescent="0.3">
      <c r="A41" t="s">
        <v>26</v>
      </c>
      <c r="B41">
        <v>1</v>
      </c>
    </row>
    <row r="42" spans="1:8" x14ac:dyDescent="0.3">
      <c r="A42" t="s">
        <v>16</v>
      </c>
      <c r="D42" t="s">
        <v>29</v>
      </c>
    </row>
    <row r="43" spans="1:8" x14ac:dyDescent="0.3">
      <c r="A43" t="s">
        <v>21</v>
      </c>
      <c r="B43">
        <v>3</v>
      </c>
    </row>
    <row r="44" spans="1:8" x14ac:dyDescent="0.3">
      <c r="A44" t="s">
        <v>31</v>
      </c>
    </row>
    <row r="45" spans="1:8" x14ac:dyDescent="0.3">
      <c r="A45" t="s">
        <v>28</v>
      </c>
      <c r="B45">
        <v>2</v>
      </c>
    </row>
    <row r="49" spans="1:11" x14ac:dyDescent="0.3">
      <c r="D49" t="s">
        <v>30</v>
      </c>
    </row>
    <row r="53" spans="1:11" x14ac:dyDescent="0.3">
      <c r="A53" t="s">
        <v>26</v>
      </c>
      <c r="B53">
        <v>1</v>
      </c>
    </row>
    <row r="54" spans="1:11" x14ac:dyDescent="0.3">
      <c r="A54" t="s">
        <v>16</v>
      </c>
    </row>
    <row r="55" spans="1:11" x14ac:dyDescent="0.3">
      <c r="A55" t="s">
        <v>21</v>
      </c>
    </row>
    <row r="56" spans="1:11" x14ac:dyDescent="0.3">
      <c r="A56" t="s">
        <v>27</v>
      </c>
    </row>
    <row r="57" spans="1:11" x14ac:dyDescent="0.3">
      <c r="A57" t="s">
        <v>28</v>
      </c>
    </row>
    <row r="61" spans="1:11" x14ac:dyDescent="0.3">
      <c r="A61" s="25" t="s">
        <v>32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</row>
    <row r="62" spans="1:11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</row>
    <row r="66" spans="1:11" x14ac:dyDescent="0.3">
      <c r="B66" s="14">
        <v>0.95299999999999996</v>
      </c>
      <c r="C66">
        <v>100</v>
      </c>
      <c r="D66">
        <v>95.3</v>
      </c>
    </row>
    <row r="67" spans="1:11" x14ac:dyDescent="0.3">
      <c r="B67">
        <v>270</v>
      </c>
      <c r="C67">
        <v>30</v>
      </c>
      <c r="D67">
        <f>+B67/C67</f>
        <v>9</v>
      </c>
    </row>
    <row r="68" spans="1:11" x14ac:dyDescent="0.3">
      <c r="B68">
        <v>100</v>
      </c>
      <c r="D68" s="15">
        <f>_xlfn.RRI(D67,D66,B68)</f>
        <v>5.3632616618040085E-3</v>
      </c>
    </row>
    <row r="75" spans="1:11" x14ac:dyDescent="0.3">
      <c r="A75" s="25" t="s">
        <v>33</v>
      </c>
      <c r="B75" s="25"/>
      <c r="C75" s="25"/>
      <c r="D75" s="25"/>
      <c r="E75" s="25"/>
      <c r="F75" s="25"/>
      <c r="G75" s="25"/>
      <c r="H75" s="25"/>
      <c r="I75" s="25"/>
      <c r="J75" s="25"/>
      <c r="K75" s="25"/>
    </row>
    <row r="76" spans="1:11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</row>
    <row r="80" spans="1:11" x14ac:dyDescent="0.3">
      <c r="A80">
        <v>2019</v>
      </c>
      <c r="B80">
        <v>0</v>
      </c>
      <c r="C80" s="7">
        <v>100000</v>
      </c>
    </row>
    <row r="81" spans="1:3" x14ac:dyDescent="0.3">
      <c r="A81">
        <v>2020</v>
      </c>
      <c r="B81" s="16">
        <v>0.108</v>
      </c>
      <c r="C81" s="12">
        <f>FV(B81,1,,-C80)</f>
        <v>110800.00000000001</v>
      </c>
    </row>
    <row r="82" spans="1:3" x14ac:dyDescent="0.3">
      <c r="A82">
        <v>2021</v>
      </c>
      <c r="B82" s="16">
        <v>9.7000000000000003E-2</v>
      </c>
      <c r="C82" s="12">
        <f t="shared" ref="C82:C85" si="0">FV(B82,1,,-C81)</f>
        <v>121547.60000000002</v>
      </c>
    </row>
    <row r="83" spans="1:3" x14ac:dyDescent="0.3">
      <c r="A83">
        <v>2022</v>
      </c>
      <c r="B83" s="16">
        <v>6.25E-2</v>
      </c>
      <c r="C83" s="12">
        <f t="shared" si="0"/>
        <v>129144.32500000003</v>
      </c>
    </row>
    <row r="84" spans="1:3" x14ac:dyDescent="0.3">
      <c r="A84">
        <v>2023</v>
      </c>
      <c r="B84" s="16">
        <v>5.1999999999999998E-2</v>
      </c>
      <c r="C84" s="12">
        <f t="shared" si="0"/>
        <v>135859.82990000004</v>
      </c>
    </row>
    <row r="85" spans="1:3" x14ac:dyDescent="0.3">
      <c r="B85" s="14">
        <v>6.7000000000000004E-2</v>
      </c>
      <c r="C85" s="12">
        <f t="shared" si="0"/>
        <v>144962.43850330004</v>
      </c>
    </row>
  </sheetData>
  <mergeCells count="5">
    <mergeCell ref="A1:N2"/>
    <mergeCell ref="A21:K22"/>
    <mergeCell ref="A35:H36"/>
    <mergeCell ref="A61:K62"/>
    <mergeCell ref="A75:K7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E02A-3AE5-4289-8A3F-3A5E036E3295}">
  <dimension ref="A1:G40"/>
  <sheetViews>
    <sheetView topLeftCell="A22" workbookViewId="0">
      <selection activeCell="C37" sqref="C37"/>
    </sheetView>
  </sheetViews>
  <sheetFormatPr baseColWidth="10" defaultRowHeight="14.4" x14ac:dyDescent="0.3"/>
  <cols>
    <col min="2" max="2" width="15.5546875" bestFit="1" customWidth="1"/>
    <col min="3" max="3" width="16.6640625" bestFit="1" customWidth="1"/>
    <col min="5" max="5" width="13.6640625" bestFit="1" customWidth="1"/>
    <col min="6" max="6" width="15.5546875" bestFit="1" customWidth="1"/>
  </cols>
  <sheetData>
    <row r="1" spans="1:3" x14ac:dyDescent="0.3">
      <c r="A1" t="s">
        <v>34</v>
      </c>
    </row>
    <row r="6" spans="1:3" x14ac:dyDescent="0.3">
      <c r="A6" t="s">
        <v>19</v>
      </c>
    </row>
    <row r="7" spans="1:3" x14ac:dyDescent="0.3">
      <c r="A7" t="s">
        <v>35</v>
      </c>
      <c r="B7" s="1">
        <v>47000000</v>
      </c>
    </row>
    <row r="8" spans="1:3" x14ac:dyDescent="0.3">
      <c r="A8" t="s">
        <v>36</v>
      </c>
      <c r="B8">
        <v>60</v>
      </c>
    </row>
    <row r="9" spans="1:3" x14ac:dyDescent="0.3">
      <c r="A9" t="s">
        <v>37</v>
      </c>
      <c r="B9" t="s">
        <v>38</v>
      </c>
    </row>
    <row r="10" spans="1:3" x14ac:dyDescent="0.3">
      <c r="A10" t="s">
        <v>39</v>
      </c>
      <c r="B10" s="14">
        <v>9.7000000000000003E-3</v>
      </c>
    </row>
    <row r="11" spans="1:3" x14ac:dyDescent="0.3">
      <c r="A11" t="s">
        <v>40</v>
      </c>
      <c r="B11">
        <v>12</v>
      </c>
    </row>
    <row r="12" spans="1:3" x14ac:dyDescent="0.3">
      <c r="A12" t="s">
        <v>41</v>
      </c>
      <c r="B12">
        <v>6</v>
      </c>
      <c r="C12">
        <f>+B10*B11</f>
        <v>0.1164</v>
      </c>
    </row>
    <row r="16" spans="1:3" x14ac:dyDescent="0.3">
      <c r="A16" t="s">
        <v>42</v>
      </c>
    </row>
    <row r="17" spans="1:6" x14ac:dyDescent="0.3">
      <c r="A17" t="s">
        <v>43</v>
      </c>
      <c r="B17">
        <f>+B10*B11</f>
        <v>0.1164</v>
      </c>
    </row>
    <row r="18" spans="1:6" x14ac:dyDescent="0.3">
      <c r="A18" t="s">
        <v>44</v>
      </c>
      <c r="B18" s="22">
        <f>EFFECT(B17,B11)</f>
        <v>0.12281517904724915</v>
      </c>
    </row>
    <row r="19" spans="1:6" x14ac:dyDescent="0.3">
      <c r="A19" t="s">
        <v>45</v>
      </c>
      <c r="B19" s="15"/>
      <c r="C19">
        <f>NOMINAL(B18,B11)</f>
        <v>0.1164000000000005</v>
      </c>
    </row>
    <row r="20" spans="1:6" x14ac:dyDescent="0.3">
      <c r="A20" t="s">
        <v>46</v>
      </c>
      <c r="B20" s="17"/>
      <c r="C20">
        <f>C19/B11</f>
        <v>9.7000000000000419E-3</v>
      </c>
    </row>
    <row r="21" spans="1:6" x14ac:dyDescent="0.3">
      <c r="A21" t="s">
        <v>52</v>
      </c>
      <c r="B21" s="21">
        <f>PMT(B19,B8,-B7)</f>
        <v>783333.33333333337</v>
      </c>
      <c r="C21" s="1">
        <f>+B21*B8</f>
        <v>47000000</v>
      </c>
      <c r="E21" s="20">
        <v>1255274</v>
      </c>
      <c r="F21" s="1">
        <f>+E21*60</f>
        <v>75316440</v>
      </c>
    </row>
    <row r="23" spans="1:6" x14ac:dyDescent="0.3">
      <c r="A23" t="s">
        <v>47</v>
      </c>
    </row>
    <row r="26" spans="1:6" x14ac:dyDescent="0.3">
      <c r="A26" t="s">
        <v>19</v>
      </c>
    </row>
    <row r="27" spans="1:6" x14ac:dyDescent="0.3">
      <c r="A27" t="s">
        <v>35</v>
      </c>
      <c r="B27">
        <v>900000</v>
      </c>
    </row>
    <row r="28" spans="1:6" x14ac:dyDescent="0.3">
      <c r="A28" t="s">
        <v>36</v>
      </c>
      <c r="B28">
        <v>8</v>
      </c>
      <c r="C28">
        <f>4*12</f>
        <v>48</v>
      </c>
    </row>
    <row r="29" spans="1:6" x14ac:dyDescent="0.3">
      <c r="A29" t="s">
        <v>39</v>
      </c>
      <c r="B29" s="14">
        <v>9.7600000000000006E-2</v>
      </c>
    </row>
    <row r="30" spans="1:6" x14ac:dyDescent="0.3">
      <c r="A30" t="s">
        <v>48</v>
      </c>
      <c r="B30" t="s">
        <v>49</v>
      </c>
    </row>
    <row r="31" spans="1:6" x14ac:dyDescent="0.3">
      <c r="A31" t="s">
        <v>40</v>
      </c>
      <c r="B31">
        <v>12</v>
      </c>
    </row>
    <row r="32" spans="1:6" x14ac:dyDescent="0.3">
      <c r="A32" t="s">
        <v>41</v>
      </c>
      <c r="B32">
        <v>2</v>
      </c>
    </row>
    <row r="34" spans="1:7" x14ac:dyDescent="0.3">
      <c r="A34" t="s">
        <v>42</v>
      </c>
    </row>
    <row r="35" spans="1:7" x14ac:dyDescent="0.3">
      <c r="A35" t="s">
        <v>51</v>
      </c>
      <c r="B35" s="18"/>
      <c r="C35">
        <f>EFFECT(B29,B32)</f>
        <v>9.9981439999999866E-2</v>
      </c>
    </row>
    <row r="36" spans="1:7" x14ac:dyDescent="0.3">
      <c r="A36" t="s">
        <v>44</v>
      </c>
      <c r="B36" s="19"/>
      <c r="C36">
        <f>NOMINAL(C35,B31)</f>
        <v>9.5672677742552281E-2</v>
      </c>
      <c r="F36" t="s">
        <v>54</v>
      </c>
      <c r="G36" t="s">
        <v>55</v>
      </c>
    </row>
    <row r="37" spans="1:7" x14ac:dyDescent="0.3">
      <c r="A37" t="s">
        <v>50</v>
      </c>
      <c r="B37" s="11"/>
      <c r="C37">
        <f>+C36/12</f>
        <v>7.9727231452126901E-3</v>
      </c>
      <c r="D37" t="s">
        <v>53</v>
      </c>
      <c r="F37" t="s">
        <v>56</v>
      </c>
      <c r="G37" t="s">
        <v>57</v>
      </c>
    </row>
    <row r="38" spans="1:7" x14ac:dyDescent="0.3">
      <c r="B38" s="19"/>
    </row>
    <row r="39" spans="1:7" x14ac:dyDescent="0.3">
      <c r="B39" s="20"/>
    </row>
    <row r="40" spans="1:7" x14ac:dyDescent="0.3">
      <c r="C40" s="20">
        <f>FV(C37,C28,-B27,,1)</f>
        <v>52796325.697702959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7413-0A47-4A22-8D5C-C3A5C4ED2EBE}">
  <dimension ref="A2:O60"/>
  <sheetViews>
    <sheetView tabSelected="1" topLeftCell="A55" workbookViewId="0">
      <selection activeCell="E73" sqref="E73"/>
    </sheetView>
  </sheetViews>
  <sheetFormatPr baseColWidth="10" defaultRowHeight="14.4" x14ac:dyDescent="0.3"/>
  <cols>
    <col min="2" max="2" width="14" bestFit="1" customWidth="1"/>
    <col min="3" max="3" width="12.77734375" bestFit="1" customWidth="1"/>
  </cols>
  <sheetData>
    <row r="2" spans="1:8" x14ac:dyDescent="0.3">
      <c r="A2" s="27"/>
      <c r="B2" s="27"/>
      <c r="C2" s="27"/>
      <c r="D2" s="27"/>
      <c r="E2" s="27"/>
      <c r="F2" s="27"/>
    </row>
    <row r="3" spans="1:8" x14ac:dyDescent="0.3">
      <c r="A3" s="27"/>
      <c r="B3" s="27"/>
      <c r="C3" s="27"/>
      <c r="D3" s="27"/>
      <c r="E3" s="27"/>
      <c r="F3" s="27"/>
    </row>
    <row r="4" spans="1:8" x14ac:dyDescent="0.3">
      <c r="A4" s="27"/>
      <c r="B4" s="27"/>
      <c r="C4" s="27"/>
      <c r="D4" s="27"/>
      <c r="E4" s="27"/>
      <c r="F4" s="27"/>
    </row>
    <row r="5" spans="1:8" x14ac:dyDescent="0.3">
      <c r="A5" s="27"/>
      <c r="B5" s="27"/>
      <c r="C5" s="27"/>
      <c r="D5" s="27"/>
      <c r="E5" s="27"/>
      <c r="F5" s="27"/>
    </row>
    <row r="6" spans="1:8" x14ac:dyDescent="0.3">
      <c r="A6" s="27"/>
      <c r="B6" s="27"/>
      <c r="C6" s="27"/>
      <c r="D6" s="27"/>
      <c r="E6" s="27"/>
      <c r="F6" s="27"/>
    </row>
    <row r="7" spans="1:8" x14ac:dyDescent="0.3">
      <c r="A7" s="27"/>
      <c r="B7" s="27"/>
      <c r="C7" s="27"/>
      <c r="D7" s="27"/>
      <c r="E7" s="27"/>
      <c r="F7" s="27"/>
    </row>
    <row r="8" spans="1:8" x14ac:dyDescent="0.3">
      <c r="A8" s="27"/>
      <c r="B8" s="27"/>
      <c r="C8" s="27"/>
      <c r="D8" s="27"/>
      <c r="E8" s="27"/>
      <c r="F8" s="27"/>
    </row>
    <row r="10" spans="1:8" ht="14.4" customHeight="1" x14ac:dyDescent="0.3">
      <c r="A10" s="26" t="s">
        <v>58</v>
      </c>
      <c r="B10" s="26"/>
      <c r="C10" s="26"/>
      <c r="D10" s="26"/>
      <c r="E10" s="26"/>
      <c r="F10" s="26"/>
      <c r="G10" s="26"/>
      <c r="H10" s="26"/>
    </row>
    <row r="11" spans="1:8" x14ac:dyDescent="0.3">
      <c r="A11" s="26"/>
      <c r="B11" s="26"/>
      <c r="C11" s="26"/>
      <c r="D11" s="26"/>
      <c r="E11" s="26"/>
      <c r="F11" s="26"/>
      <c r="G11" s="26"/>
      <c r="H11" s="26"/>
    </row>
    <row r="12" spans="1:8" x14ac:dyDescent="0.3">
      <c r="A12" s="26"/>
      <c r="B12" s="26"/>
      <c r="C12" s="26"/>
      <c r="D12" s="26"/>
      <c r="E12" s="26"/>
      <c r="F12" s="26"/>
      <c r="G12" s="26"/>
      <c r="H12" s="26"/>
    </row>
    <row r="13" spans="1:8" x14ac:dyDescent="0.3">
      <c r="A13" s="26"/>
      <c r="B13" s="26"/>
      <c r="C13" s="26"/>
      <c r="D13" s="26"/>
      <c r="E13" s="26"/>
      <c r="F13" s="26"/>
      <c r="G13" s="26"/>
      <c r="H13" s="26"/>
    </row>
    <row r="14" spans="1:8" x14ac:dyDescent="0.3">
      <c r="A14" s="26"/>
      <c r="B14" s="26"/>
      <c r="C14" s="26"/>
      <c r="D14" s="26"/>
      <c r="E14" s="26"/>
      <c r="F14" s="26"/>
      <c r="G14" s="26"/>
      <c r="H14" s="26"/>
    </row>
    <row r="15" spans="1:8" x14ac:dyDescent="0.3">
      <c r="A15" s="26"/>
      <c r="B15" s="26"/>
      <c r="C15" s="26"/>
      <c r="D15" s="26"/>
      <c r="E15" s="26"/>
      <c r="F15" s="26"/>
      <c r="G15" s="26"/>
      <c r="H15" s="26"/>
    </row>
    <row r="18" spans="1:14" x14ac:dyDescent="0.3">
      <c r="A18" t="s">
        <v>59</v>
      </c>
    </row>
    <row r="19" spans="1:14" x14ac:dyDescent="0.3">
      <c r="A19" t="s">
        <v>35</v>
      </c>
      <c r="B19">
        <v>3000</v>
      </c>
      <c r="C19" s="1"/>
    </row>
    <row r="20" spans="1:14" x14ac:dyDescent="0.3">
      <c r="A20" t="s">
        <v>39</v>
      </c>
      <c r="B20" s="3">
        <v>0.06</v>
      </c>
    </row>
    <row r="21" spans="1:14" x14ac:dyDescent="0.3">
      <c r="A21" t="s">
        <v>60</v>
      </c>
      <c r="B21">
        <v>120</v>
      </c>
    </row>
    <row r="22" spans="1:14" x14ac:dyDescent="0.3">
      <c r="A22" t="s">
        <v>28</v>
      </c>
      <c r="B22" s="12">
        <f>FV(B20,B21,,-B19)</f>
        <v>3264563.2435051147</v>
      </c>
    </row>
    <row r="25" spans="1:14" ht="44.4" customHeight="1" x14ac:dyDescent="0.3">
      <c r="A25" s="29" t="s">
        <v>61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</row>
    <row r="27" spans="1:14" x14ac:dyDescent="0.3">
      <c r="A27" t="s">
        <v>42</v>
      </c>
    </row>
    <row r="28" spans="1:14" x14ac:dyDescent="0.3">
      <c r="A28" t="s">
        <v>62</v>
      </c>
      <c r="B28" s="3">
        <v>0.12</v>
      </c>
    </row>
    <row r="29" spans="1:14" x14ac:dyDescent="0.3">
      <c r="A29" t="s">
        <v>35</v>
      </c>
    </row>
    <row r="30" spans="1:14" x14ac:dyDescent="0.3">
      <c r="B30">
        <f>EFFECT(B28,2)</f>
        <v>0.12360000000000015</v>
      </c>
    </row>
    <row r="31" spans="1:14" x14ac:dyDescent="0.3">
      <c r="A31" t="s">
        <v>40</v>
      </c>
      <c r="B31">
        <v>2</v>
      </c>
    </row>
    <row r="32" spans="1:14" x14ac:dyDescent="0.3">
      <c r="B32">
        <f>NOMINAL(B30,B31)</f>
        <v>0.12000000000000011</v>
      </c>
    </row>
    <row r="33" spans="1:11" x14ac:dyDescent="0.3">
      <c r="A33" t="s">
        <v>63</v>
      </c>
      <c r="B33" s="5">
        <f>+B32/2</f>
        <v>6.0000000000000053E-2</v>
      </c>
    </row>
    <row r="34" spans="1:11" x14ac:dyDescent="0.3">
      <c r="A34" t="s">
        <v>30</v>
      </c>
      <c r="B34" s="30">
        <v>60</v>
      </c>
    </row>
    <row r="35" spans="1:11" x14ac:dyDescent="0.3">
      <c r="A35" t="s">
        <v>52</v>
      </c>
      <c r="B35" s="12">
        <f>PMT(B33,B34,,-500000000)</f>
        <v>937860.75830086553</v>
      </c>
    </row>
    <row r="40" spans="1:11" ht="19.2" customHeight="1" x14ac:dyDescent="0.3">
      <c r="A40" s="31" t="s">
        <v>64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1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1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58" spans="1:15" ht="15.6" customHeight="1" x14ac:dyDescent="0.3">
      <c r="A58" s="32" t="s">
        <v>65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</row>
    <row r="59" spans="1:15" x14ac:dyDescent="0.3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</row>
    <row r="60" spans="1:15" ht="19.2" x14ac:dyDescent="0.3">
      <c r="A60" s="28"/>
    </row>
  </sheetData>
  <mergeCells count="4">
    <mergeCell ref="A10:H15"/>
    <mergeCell ref="A25:N25"/>
    <mergeCell ref="A40:K42"/>
    <mergeCell ref="A58:O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Angélico Sala 405</dc:creator>
  <cp:lastModifiedBy>Paula Rodriguez</cp:lastModifiedBy>
  <dcterms:created xsi:type="dcterms:W3CDTF">2025-09-10T19:13:07Z</dcterms:created>
  <dcterms:modified xsi:type="dcterms:W3CDTF">2025-10-10T19:22:19Z</dcterms:modified>
</cp:coreProperties>
</file>